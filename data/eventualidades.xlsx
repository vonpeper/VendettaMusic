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onpeper/Downloads/"/>
    </mc:Choice>
  </mc:AlternateContent>
  <xr:revisionPtr revIDLastSave="0" documentId="8_{83B91498-C3C0-6641-81B8-02419D6BF895}" xr6:coauthVersionLast="47" xr6:coauthVersionMax="47" xr10:uidLastSave="{00000000-0000-0000-0000-000000000000}"/>
  <bookViews>
    <workbookView xWindow="1180" yWindow="1500" windowWidth="27240" windowHeight="15100" xr2:uid="{D8B3E013-265C-EA41-92B6-490BC841626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G4" i="1"/>
  <c r="G5" i="1"/>
  <c r="G6" i="1"/>
  <c r="G7" i="1"/>
  <c r="G8" i="1"/>
  <c r="G9" i="1"/>
  <c r="G10" i="1"/>
  <c r="F11" i="1"/>
  <c r="G11" i="1"/>
  <c r="G12" i="1"/>
  <c r="G13" i="1"/>
  <c r="G14" i="1"/>
  <c r="G16" i="1"/>
  <c r="G17" i="1"/>
  <c r="G18" i="1"/>
  <c r="F19" i="1"/>
  <c r="G19" i="1" s="1"/>
  <c r="G20" i="1"/>
  <c r="G21" i="1"/>
  <c r="G22" i="1"/>
  <c r="G23" i="1"/>
  <c r="G24" i="1"/>
  <c r="G25" i="1"/>
  <c r="G26" i="1"/>
  <c r="G28" i="1"/>
  <c r="G29" i="1"/>
  <c r="G30" i="1"/>
  <c r="G31" i="1"/>
  <c r="G34" i="1"/>
  <c r="G35" i="1"/>
  <c r="I35" i="1"/>
  <c r="I14" i="1" l="1"/>
  <c r="I26" i="1"/>
</calcChain>
</file>

<file path=xl/sharedStrings.xml><?xml version="1.0" encoding="utf-8"?>
<sst xmlns="http://schemas.openxmlformats.org/spreadsheetml/2006/main" count="45" uniqueCount="30">
  <si>
    <t>10/</t>
  </si>
  <si>
    <t>Townsquare</t>
  </si>
  <si>
    <t>ABRIL</t>
  </si>
  <si>
    <t>Bruma</t>
  </si>
  <si>
    <t>Alquimia 73</t>
  </si>
  <si>
    <t>Terraza 609</t>
  </si>
  <si>
    <t>Bruma medio tiempo</t>
  </si>
  <si>
    <t>Avandaro Israel</t>
  </si>
  <si>
    <t>MARZO</t>
  </si>
  <si>
    <t xml:space="preserve">Sabores </t>
  </si>
  <si>
    <t>Alquimia</t>
  </si>
  <si>
    <t>Los encinos</t>
  </si>
  <si>
    <t>Toluca Rock</t>
  </si>
  <si>
    <t xml:space="preserve">Alquimia San Valentín </t>
  </si>
  <si>
    <t xml:space="preserve">Miguel Ocoyoacac </t>
  </si>
  <si>
    <t>Mentiras</t>
  </si>
  <si>
    <t>FEBRERO</t>
  </si>
  <si>
    <t>Dan Carbajal</t>
  </si>
  <si>
    <t>Privado XVs Barbie</t>
  </si>
  <si>
    <t>Dra. Nancy</t>
  </si>
  <si>
    <t>Gulliver</t>
  </si>
  <si>
    <t>Caravana Santiago Tianuistenco</t>
  </si>
  <si>
    <t>Parrilla Urbana</t>
  </si>
  <si>
    <t>TOTAL</t>
  </si>
  <si>
    <t>IVA</t>
  </si>
  <si>
    <t>Ingreso</t>
  </si>
  <si>
    <t>CLIENTE</t>
  </si>
  <si>
    <t>Fecha</t>
  </si>
  <si>
    <t>ENERO</t>
  </si>
  <si>
    <t>total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</si>
</sst>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4D6E0-6C55-9C47-9BEC-5FA41BBFE0C0}">
  <dimension ref="B1:J38"/>
  <sheetViews>
    <sheetView tabSelected="1" topLeftCell="A26" workbookViewId="0">
      <selection activeCell="H36" sqref="H36"/>
    </sheetView>
  </sheetViews>
  <sheetFormatPr baseColWidth="10" defaultRowHeight="16" x14ac:dyDescent="0.2"/>
  <sheetData>
    <row r="1" spans="2:10" x14ac:dyDescent="0.2">
      <c r="C1" s="2"/>
    </row>
    <row r="2" spans="2:10" x14ac:dyDescent="0.2">
      <c r="B2" s="1" t="s">
        <v>28</v>
      </c>
      <c r="C2" s="4" t="s">
        <v>27</v>
      </c>
      <c r="D2" s="3" t="s">
        <v>26</v>
      </c>
      <c r="E2" s="3" t="s">
        <v>25</v>
      </c>
      <c r="F2" s="3" t="s">
        <v>24</v>
      </c>
      <c r="G2" s="3" t="s">
        <v>23</v>
      </c>
    </row>
    <row r="3" spans="2:10" x14ac:dyDescent="0.2">
      <c r="C3" s="4">
        <v>46022</v>
      </c>
      <c r="D3" s="3" t="s">
        <v>22</v>
      </c>
      <c r="E3" s="3">
        <v>17000</v>
      </c>
      <c r="F3" s="3">
        <f>E3*16%</f>
        <v>2720</v>
      </c>
      <c r="G3" s="3">
        <f>F3+E3</f>
        <v>19720</v>
      </c>
      <c r="I3" s="1"/>
      <c r="J3" s="1"/>
    </row>
    <row r="4" spans="2:10" x14ac:dyDescent="0.2">
      <c r="C4" s="4">
        <v>46023</v>
      </c>
      <c r="D4" s="3" t="s">
        <v>21</v>
      </c>
      <c r="E4" s="3">
        <v>9000</v>
      </c>
      <c r="F4" s="3">
        <v>0</v>
      </c>
      <c r="G4" s="3">
        <f>F4+E4</f>
        <v>9000</v>
      </c>
    </row>
    <row r="5" spans="2:10" x14ac:dyDescent="0.2">
      <c r="C5" s="4">
        <v>46025</v>
      </c>
      <c r="D5" s="3" t="s">
        <v>20</v>
      </c>
      <c r="E5" s="3">
        <v>5000</v>
      </c>
      <c r="F5" s="3">
        <v>0</v>
      </c>
      <c r="G5" s="3">
        <f>F5+E5</f>
        <v>5000</v>
      </c>
    </row>
    <row r="6" spans="2:10" x14ac:dyDescent="0.2">
      <c r="C6" s="4">
        <v>46026</v>
      </c>
      <c r="D6" s="3" t="s">
        <v>19</v>
      </c>
      <c r="E6" s="3">
        <v>7400</v>
      </c>
      <c r="F6" s="3">
        <v>0</v>
      </c>
      <c r="G6" s="3">
        <f>F6+E6</f>
        <v>7400</v>
      </c>
    </row>
    <row r="7" spans="2:10" x14ac:dyDescent="0.2">
      <c r="C7" s="4">
        <v>46031</v>
      </c>
      <c r="D7" s="3" t="s">
        <v>1</v>
      </c>
      <c r="E7" s="3">
        <v>3000</v>
      </c>
      <c r="F7" s="3">
        <v>0</v>
      </c>
      <c r="G7" s="3">
        <f>F7+E7</f>
        <v>3000</v>
      </c>
    </row>
    <row r="8" spans="2:10" x14ac:dyDescent="0.2">
      <c r="C8" s="4">
        <v>46031</v>
      </c>
      <c r="D8" s="3" t="s">
        <v>4</v>
      </c>
      <c r="E8" s="3">
        <v>3500</v>
      </c>
      <c r="F8" s="3">
        <v>0</v>
      </c>
      <c r="G8" s="3">
        <f>F8+E8</f>
        <v>3500</v>
      </c>
    </row>
    <row r="9" spans="2:10" x14ac:dyDescent="0.2">
      <c r="C9" s="4">
        <v>46032</v>
      </c>
      <c r="D9" s="3" t="s">
        <v>18</v>
      </c>
      <c r="E9" s="3">
        <v>11100</v>
      </c>
      <c r="F9" s="3">
        <v>0</v>
      </c>
      <c r="G9" s="3">
        <f>F9+E9</f>
        <v>11100</v>
      </c>
    </row>
    <row r="10" spans="2:10" x14ac:dyDescent="0.2">
      <c r="C10" s="4">
        <v>46038</v>
      </c>
      <c r="D10" s="3" t="s">
        <v>4</v>
      </c>
      <c r="E10" s="3">
        <v>3500</v>
      </c>
      <c r="F10" s="3">
        <v>0</v>
      </c>
      <c r="G10" s="3">
        <f>F10+E10</f>
        <v>3500</v>
      </c>
    </row>
    <row r="11" spans="2:10" x14ac:dyDescent="0.2">
      <c r="C11" s="4">
        <v>46039</v>
      </c>
      <c r="D11" s="3" t="s">
        <v>5</v>
      </c>
      <c r="E11" s="3">
        <v>3800</v>
      </c>
      <c r="F11" s="3">
        <f>E11*16%</f>
        <v>608</v>
      </c>
      <c r="G11" s="3">
        <f>F11+E11</f>
        <v>4408</v>
      </c>
    </row>
    <row r="12" spans="2:10" x14ac:dyDescent="0.2">
      <c r="C12" s="4">
        <v>46045</v>
      </c>
      <c r="D12" s="3" t="s">
        <v>4</v>
      </c>
      <c r="E12" s="3">
        <v>3600</v>
      </c>
      <c r="F12" s="3">
        <v>0</v>
      </c>
      <c r="G12" s="3">
        <f>F12+E12</f>
        <v>3600</v>
      </c>
    </row>
    <row r="13" spans="2:10" x14ac:dyDescent="0.2">
      <c r="C13" s="4">
        <v>46052</v>
      </c>
      <c r="D13" s="3" t="s">
        <v>4</v>
      </c>
      <c r="E13" s="3">
        <v>3600</v>
      </c>
      <c r="F13" s="3">
        <v>0</v>
      </c>
      <c r="G13" s="3">
        <f>F13+E13</f>
        <v>3600</v>
      </c>
    </row>
    <row r="14" spans="2:10" x14ac:dyDescent="0.2">
      <c r="C14" s="4">
        <v>46053</v>
      </c>
      <c r="D14" s="3" t="s">
        <v>17</v>
      </c>
      <c r="E14" s="3">
        <v>2400</v>
      </c>
      <c r="F14" s="3">
        <v>0</v>
      </c>
      <c r="G14" s="3">
        <f>F14+E14</f>
        <v>2400</v>
      </c>
      <c r="H14" t="s">
        <v>29</v>
      </c>
      <c r="I14" s="1">
        <f>SUM(G3:G14)</f>
        <v>76228</v>
      </c>
    </row>
    <row r="15" spans="2:10" x14ac:dyDescent="0.2">
      <c r="B15" s="1" t="s">
        <v>16</v>
      </c>
      <c r="C15" s="2"/>
    </row>
    <row r="16" spans="2:10" x14ac:dyDescent="0.2">
      <c r="C16" s="4">
        <v>46059</v>
      </c>
      <c r="D16" s="3" t="s">
        <v>4</v>
      </c>
      <c r="E16" s="3">
        <v>3600</v>
      </c>
      <c r="F16" s="3">
        <v>0</v>
      </c>
      <c r="G16" s="3">
        <f>F16+E16</f>
        <v>3600</v>
      </c>
    </row>
    <row r="17" spans="2:9" x14ac:dyDescent="0.2">
      <c r="C17" s="4">
        <v>46060</v>
      </c>
      <c r="D17" s="3" t="s">
        <v>15</v>
      </c>
      <c r="E17" s="3">
        <v>15000</v>
      </c>
      <c r="F17" s="3">
        <v>0</v>
      </c>
      <c r="G17" s="3">
        <f>F17+E17</f>
        <v>15000</v>
      </c>
    </row>
    <row r="18" spans="2:9" x14ac:dyDescent="0.2">
      <c r="C18" s="4">
        <v>46060</v>
      </c>
      <c r="D18" s="3" t="s">
        <v>14</v>
      </c>
      <c r="E18" s="3">
        <v>6500</v>
      </c>
      <c r="F18" s="3">
        <v>0</v>
      </c>
      <c r="G18" s="3">
        <f>F18+E18</f>
        <v>6500</v>
      </c>
    </row>
    <row r="19" spans="2:9" x14ac:dyDescent="0.2">
      <c r="C19" s="4">
        <v>46065</v>
      </c>
      <c r="D19" s="3" t="s">
        <v>5</v>
      </c>
      <c r="E19" s="3">
        <v>3800</v>
      </c>
      <c r="F19" s="3">
        <f>E19*0.16</f>
        <v>608</v>
      </c>
      <c r="G19" s="3">
        <f>F19+E19</f>
        <v>4408</v>
      </c>
    </row>
    <row r="20" spans="2:9" x14ac:dyDescent="0.2">
      <c r="C20" s="4">
        <v>46066</v>
      </c>
      <c r="D20" s="3" t="s">
        <v>4</v>
      </c>
      <c r="E20" s="3">
        <v>3600</v>
      </c>
      <c r="F20" s="3">
        <v>0</v>
      </c>
      <c r="G20" s="3">
        <f>F20+E20</f>
        <v>3600</v>
      </c>
    </row>
    <row r="21" spans="2:9" x14ac:dyDescent="0.2">
      <c r="C21" s="4">
        <v>46067</v>
      </c>
      <c r="D21" s="3" t="s">
        <v>9</v>
      </c>
      <c r="E21" s="3">
        <v>4000</v>
      </c>
      <c r="F21" s="3">
        <v>0</v>
      </c>
      <c r="G21" s="3">
        <f>F21+E21</f>
        <v>4000</v>
      </c>
    </row>
    <row r="22" spans="2:9" x14ac:dyDescent="0.2">
      <c r="C22" s="4">
        <v>46067</v>
      </c>
      <c r="D22" s="3" t="s">
        <v>13</v>
      </c>
      <c r="E22" s="3">
        <v>5000</v>
      </c>
      <c r="F22" s="3">
        <v>0</v>
      </c>
      <c r="G22" s="3">
        <f>F22+E22</f>
        <v>5000</v>
      </c>
    </row>
    <row r="23" spans="2:9" x14ac:dyDescent="0.2">
      <c r="C23" s="4">
        <v>46073</v>
      </c>
      <c r="D23" s="3" t="s">
        <v>12</v>
      </c>
      <c r="E23" s="3">
        <v>5000</v>
      </c>
      <c r="F23" s="3">
        <v>0</v>
      </c>
      <c r="G23" s="3">
        <f>F23+E23</f>
        <v>5000</v>
      </c>
    </row>
    <row r="24" spans="2:9" x14ac:dyDescent="0.2">
      <c r="C24" s="4">
        <v>46074</v>
      </c>
      <c r="D24" s="3" t="s">
        <v>11</v>
      </c>
      <c r="E24" s="3">
        <v>11100</v>
      </c>
      <c r="F24" s="3">
        <v>0</v>
      </c>
      <c r="G24" s="3">
        <f>F24+E24</f>
        <v>11100</v>
      </c>
    </row>
    <row r="25" spans="2:9" x14ac:dyDescent="0.2">
      <c r="C25" s="4">
        <v>46080</v>
      </c>
      <c r="D25" s="3" t="s">
        <v>10</v>
      </c>
      <c r="E25" s="3">
        <v>3600</v>
      </c>
      <c r="F25" s="3">
        <v>0</v>
      </c>
      <c r="G25" s="3">
        <f>F25+E25</f>
        <v>3600</v>
      </c>
    </row>
    <row r="26" spans="2:9" x14ac:dyDescent="0.2">
      <c r="C26" s="4">
        <v>46081</v>
      </c>
      <c r="D26" s="3" t="s">
        <v>9</v>
      </c>
      <c r="E26" s="3">
        <v>4500</v>
      </c>
      <c r="F26" s="3">
        <v>0</v>
      </c>
      <c r="G26" s="3">
        <f>F26+E26</f>
        <v>4500</v>
      </c>
      <c r="H26" t="s">
        <v>29</v>
      </c>
      <c r="I26" s="1">
        <f>SUM(G16:G26)</f>
        <v>66308</v>
      </c>
    </row>
    <row r="27" spans="2:9" x14ac:dyDescent="0.2">
      <c r="C27" s="2"/>
      <c r="F27" s="1"/>
    </row>
    <row r="28" spans="2:9" x14ac:dyDescent="0.2">
      <c r="B28" s="1" t="s">
        <v>8</v>
      </c>
      <c r="C28" s="4">
        <v>46087</v>
      </c>
      <c r="D28" s="3" t="s">
        <v>4</v>
      </c>
      <c r="E28" s="3">
        <v>3600</v>
      </c>
      <c r="F28" s="3">
        <v>0</v>
      </c>
      <c r="G28" s="3">
        <f>F28+E28</f>
        <v>3600</v>
      </c>
    </row>
    <row r="29" spans="2:9" x14ac:dyDescent="0.2">
      <c r="C29" s="4">
        <v>46088</v>
      </c>
      <c r="D29" s="3" t="s">
        <v>7</v>
      </c>
      <c r="E29" s="3">
        <v>30000</v>
      </c>
      <c r="F29" s="3">
        <v>0</v>
      </c>
      <c r="G29" s="3">
        <f>F29+E29</f>
        <v>30000</v>
      </c>
    </row>
    <row r="30" spans="2:9" x14ac:dyDescent="0.2">
      <c r="C30" s="4">
        <v>46094</v>
      </c>
      <c r="D30" s="3" t="s">
        <v>4</v>
      </c>
      <c r="E30" s="3">
        <v>3600</v>
      </c>
      <c r="F30" s="3">
        <v>0</v>
      </c>
      <c r="G30" s="3">
        <f>F30+E30</f>
        <v>3600</v>
      </c>
    </row>
    <row r="31" spans="2:9" x14ac:dyDescent="0.2">
      <c r="C31" s="4">
        <v>46095</v>
      </c>
      <c r="D31" s="3" t="s">
        <v>6</v>
      </c>
      <c r="E31" s="3">
        <v>2500</v>
      </c>
      <c r="F31" s="3">
        <v>0</v>
      </c>
      <c r="G31" s="3">
        <f>F31+E31</f>
        <v>2500</v>
      </c>
    </row>
    <row r="32" spans="2:9" x14ac:dyDescent="0.2">
      <c r="C32" s="4">
        <v>46100</v>
      </c>
      <c r="D32" s="3" t="s">
        <v>5</v>
      </c>
      <c r="E32" s="3">
        <v>3800</v>
      </c>
      <c r="F32" s="3">
        <v>0</v>
      </c>
      <c r="G32" s="3">
        <v>3800</v>
      </c>
    </row>
    <row r="33" spans="2:9" x14ac:dyDescent="0.2">
      <c r="C33" s="4">
        <v>46102</v>
      </c>
      <c r="D33" s="3" t="s">
        <v>5</v>
      </c>
      <c r="E33" s="3">
        <v>3800</v>
      </c>
      <c r="F33" s="3">
        <v>0</v>
      </c>
      <c r="G33" s="3">
        <v>3800</v>
      </c>
    </row>
    <row r="34" spans="2:9" x14ac:dyDescent="0.2">
      <c r="C34" s="4">
        <v>46108</v>
      </c>
      <c r="D34" s="3" t="s">
        <v>4</v>
      </c>
      <c r="E34" s="3">
        <v>3800</v>
      </c>
      <c r="F34" s="3">
        <v>0</v>
      </c>
      <c r="G34" s="3">
        <f>E34</f>
        <v>3800</v>
      </c>
    </row>
    <row r="35" spans="2:9" x14ac:dyDescent="0.2">
      <c r="C35" s="4">
        <v>46109</v>
      </c>
      <c r="D35" s="3" t="s">
        <v>3</v>
      </c>
      <c r="E35" s="3">
        <v>5000</v>
      </c>
      <c r="F35" s="3">
        <v>0</v>
      </c>
      <c r="G35" s="3">
        <f>SUM(E35:F35)</f>
        <v>5000</v>
      </c>
      <c r="H35" t="s">
        <v>29</v>
      </c>
      <c r="I35" s="1">
        <f>SUM(E28:E35)</f>
        <v>56100</v>
      </c>
    </row>
    <row r="36" spans="2:9" x14ac:dyDescent="0.2">
      <c r="C36" s="2"/>
    </row>
    <row r="37" spans="2:9" x14ac:dyDescent="0.2">
      <c r="B37" s="1" t="s">
        <v>2</v>
      </c>
      <c r="C37" s="2">
        <v>46115</v>
      </c>
      <c r="D37" s="1" t="s">
        <v>1</v>
      </c>
      <c r="E37" s="1">
        <v>3200</v>
      </c>
    </row>
    <row r="38" spans="2:9" x14ac:dyDescent="0.2">
      <c r="C3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Bautista</dc:creator>
  <cp:lastModifiedBy>Jose Bautista</cp:lastModifiedBy>
  <dcterms:created xsi:type="dcterms:W3CDTF">2026-04-07T17:45:52Z</dcterms:created>
  <dcterms:modified xsi:type="dcterms:W3CDTF">2026-04-07T17:46:24Z</dcterms:modified>
</cp:coreProperties>
</file>